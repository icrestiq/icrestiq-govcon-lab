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GovConLab Site\"/>
    </mc:Choice>
  </mc:AlternateContent>
  <xr:revisionPtr revIDLastSave="0" documentId="8_{A46EBE3C-D771-48E1-965F-B41646438D0F}" xr6:coauthVersionLast="47" xr6:coauthVersionMax="47" xr10:uidLastSave="{00000000-0000-0000-0000-000000000000}"/>
  <bookViews>
    <workbookView xWindow="-108" yWindow="-108" windowWidth="23256" windowHeight="12456" tabRatio="640" xr2:uid="{00000000-000D-0000-FFFF-FFFF00000000}"/>
  </bookViews>
  <sheets>
    <sheet name="Read Me" sheetId="1" r:id="rId1"/>
    <sheet name="Income &amp; Expense Tracker" sheetId="2" r:id="rId2"/>
    <sheet name="Job Costing by Contract" sheetId="3" r:id="rId3"/>
    <sheet name="Indirect Rate Calculator" sheetId="4" r:id="rId4"/>
    <sheet name="Monthly 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5" l="1"/>
  <c r="B16" i="5"/>
  <c r="D16" i="5" s="1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C17" i="5" s="1"/>
  <c r="B5" i="5"/>
  <c r="D5" i="5" s="1"/>
  <c r="D17" i="5" s="1"/>
  <c r="B7" i="4"/>
  <c r="B11" i="4" s="1"/>
  <c r="B12" i="4" s="1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F63" i="2"/>
  <c r="F64" i="2" s="1"/>
  <c r="F62" i="2"/>
  <c r="B17" i="5" l="1"/>
</calcChain>
</file>

<file path=xl/sharedStrings.xml><?xml version="1.0" encoding="utf-8"?>
<sst xmlns="http://schemas.openxmlformats.org/spreadsheetml/2006/main" count="92" uniqueCount="86">
  <si>
    <t>GovCon Accounting Starter Sheet</t>
  </si>
  <si>
    <t>A free tool from GovCon Lab — govconlab.com</t>
  </si>
  <si>
    <t>What this is</t>
  </si>
  <si>
    <t>A lightweight starting point for tracking income, expenses, and basic job costing as a federal contractor — before you need a full accounting system or DCAA-compliant setup.</t>
  </si>
  <si>
    <t>Who it's for</t>
  </si>
  <si>
    <t>Small businesses just starting to win federal or GovCon work who need simple, organized records for tax time, cash flow visibility, and early job costing.</t>
  </si>
  <si>
    <t>Tabs in this workbook</t>
  </si>
  <si>
    <t xml:space="preserve">  1. Income &amp; Expense Tracker</t>
  </si>
  <si>
    <t>Log every transaction, categorized, with running totals by month.</t>
  </si>
  <si>
    <t xml:space="preserve">  2. Job Costing by Contract</t>
  </si>
  <si>
    <t>Track direct costs (labor, materials, other direct costs) against each contract/CLIN so you know your real margin.</t>
  </si>
  <si>
    <t xml:space="preserve">  3. Indirect Rate Calculator (Simple)</t>
  </si>
  <si>
    <t>A simplified overhead/G&amp;A rate calculator — a starting point, not a DCAA-compliant rate structure.</t>
  </si>
  <si>
    <t xml:space="preserve">  4. Monthly Summary</t>
  </si>
  <si>
    <t>Auto-calculated income, expenses, and net profit by month, pulled from the Income &amp; Expense Tracker.</t>
  </si>
  <si>
    <t>How to use it</t>
  </si>
  <si>
    <t>Enter data only in the yellow-highlighted example rows' columns — replace the example values, then continue in the rows below. Formulas are already built into the totals — don't overwrite them.</t>
  </si>
  <si>
    <t>A note on limits</t>
  </si>
  <si>
    <t>This is a starting point for organizing your own records, not a substitute for a bookkeeper, CPA, or DCAA-compliant accounting system once you're pursuing cost-reimbursement contracts. As your GovCon revenue grows, GovCon Lab's full Accounting Dashboard (icrestiq.github.io/govcon-accounting) adds automated bank import, indirect rate pools, and reporting built specifically for small GovCon contractors.</t>
  </si>
  <si>
    <t>Want more?</t>
  </si>
  <si>
    <t>Join GovCon Lab at govconlab.com for the full accounting dashboard, proposal tools, and community support.</t>
  </si>
  <si>
    <t>Income &amp; Expense Tracker</t>
  </si>
  <si>
    <t>Log every transaction. Use the Category column consistently — it feeds the Monthly Summary tab.</t>
  </si>
  <si>
    <t>Date</t>
  </si>
  <si>
    <t>Description</t>
  </si>
  <si>
    <t>Contract / Job #</t>
  </si>
  <si>
    <t>Category</t>
  </si>
  <si>
    <t>Type (Income/Expense)</t>
  </si>
  <si>
    <t>Amount</t>
  </si>
  <si>
    <t>Notes</t>
  </si>
  <si>
    <t>2026-01-15</t>
  </si>
  <si>
    <t>DLA CLIN 0001 payment received</t>
  </si>
  <si>
    <t>SPE4A6-26-D-0012</t>
  </si>
  <si>
    <t>Contract Revenue</t>
  </si>
  <si>
    <t>Income</t>
  </si>
  <si>
    <t>Net 30 paid on time</t>
  </si>
  <si>
    <t>2026-01-18</t>
  </si>
  <si>
    <t>Shop supplies — fasteners</t>
  </si>
  <si>
    <t>Materials/COGS</t>
  </si>
  <si>
    <t>Expense</t>
  </si>
  <si>
    <t>Vendor: ABC Supply</t>
  </si>
  <si>
    <t>TOTAL INCOME</t>
  </si>
  <si>
    <t>TOTAL EXPENSES</t>
  </si>
  <si>
    <t>NET</t>
  </si>
  <si>
    <t>Job Costing by Contract</t>
  </si>
  <si>
    <t>Track direct costs against each contract so you know your real margin — not just cash in the door.</t>
  </si>
  <si>
    <t>Contract Value</t>
  </si>
  <si>
    <t>Direct Labor</t>
  </si>
  <si>
    <t>Materials</t>
  </si>
  <si>
    <t>Subcontractor</t>
  </si>
  <si>
    <t>Other Direct Costs</t>
  </si>
  <si>
    <t>Total Direct Cost</t>
  </si>
  <si>
    <t>Margin ($) / Margin (%)</t>
  </si>
  <si>
    <t>Note: Margin % assumes Contract Value is fixed-price. For cost-reimbursement contracts, compare Total Direct Cost against your funded ceiling instead.</t>
  </si>
  <si>
    <t>Indirect Rate Calculator (Simplified)</t>
  </si>
  <si>
    <t>A starting point for understanding your overhead rate — not a DCAA-compliant rate structure.</t>
  </si>
  <si>
    <t>Input</t>
  </si>
  <si>
    <t>Annual Indirect (Overhead) Costs</t>
  </si>
  <si>
    <t>Rent, utilities, admin salaries, insurance, software, etc.</t>
  </si>
  <si>
    <t>Annual Direct Labor Cost</t>
  </si>
  <si>
    <t>Total wages paid for work directly performed on contracts.</t>
  </si>
  <si>
    <t>Indirect Rate (%)</t>
  </si>
  <si>
    <t>Calculated: Indirect Costs ÷ Direct Labor. Apply this rate to future direct labor estimates when pricing new work.</t>
  </si>
  <si>
    <t>Example: pricing a new job</t>
  </si>
  <si>
    <t>Estimated Direct Labor for New Job</t>
  </si>
  <si>
    <t>Applied Indirect Cost</t>
  </si>
  <si>
    <t>Total Estimated Cost</t>
  </si>
  <si>
    <t>Yellow cells are inputs — edit those. Everything else calculates automatically.</t>
  </si>
  <si>
    <t>Monthly Summary</t>
  </si>
  <si>
    <t>Auto-calculated from the Income &amp; Expense Tracker tab using each transaction's Date.</t>
  </si>
  <si>
    <t>Month</t>
  </si>
  <si>
    <t>Expenses</t>
  </si>
  <si>
    <t>Net Profit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</si>
  <si>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</si>
  <si>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</si>
  <si>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</si>
  <si>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</si>
  <si>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</si>
  <si>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</si>
  <si>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</si>
  <si>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</si>
  <si>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</si>
  <si>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</si>
  <si>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</si>
  <si>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</si>
  <si>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YTD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</si>
</sst>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;&quot;($&quot;#,##0.00\)"/>
    <numFmt numFmtId="166" formatCode="\$#,##0.00"/>
    <numFmt numFmtId="167" formatCode="0.0%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666666"/>
      <name val="Arial"/>
      <charset val="1"/>
    </font>
    <font>
      <sz val="10"/>
      <name val="Arial"/>
      <charset val="1"/>
    </font>
    <font>
      <sz val="10"/>
      <color rgb="FF333333"/>
      <name val="Arial"/>
      <charset val="1"/>
    </font>
    <font>
      <b/>
      <sz val="10"/>
      <name val="Arial"/>
      <charset val="1"/>
    </font>
    <font>
      <b/>
      <sz val="10"/>
      <color rgb="FF1F3864"/>
      <name val="Arial"/>
      <charset val="1"/>
    </font>
    <font>
      <b/>
      <sz val="10"/>
      <color rgb="FFFFFFFF"/>
      <name val="Arial"/>
      <charset val="1"/>
    </font>
    <font>
      <i/>
      <sz val="10"/>
      <color rgb="FF777777"/>
      <name val="Arial"/>
      <charset val="1"/>
    </font>
    <font>
      <b/>
      <sz val="11"/>
      <color rgb="FFFFFFFF"/>
      <name val="Arial"/>
      <charset val="1"/>
    </font>
    <font>
      <i/>
      <sz val="9"/>
      <color rgb="FF888888"/>
      <name val="Arial"/>
      <charset val="1"/>
    </font>
    <font>
      <sz val="10"/>
      <color rgb="FF0000FF"/>
      <name val="Arial"/>
      <charset val="1"/>
    </font>
    <font>
      <i/>
      <sz val="9"/>
      <color rgb="FF777777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F3E3"/>
        <bgColor rgb="FFF4F1EC"/>
      </patternFill>
    </fill>
    <fill>
      <patternFill patternType="solid">
        <fgColor rgb="FFFFFFFF"/>
        <bgColor rgb="FFFBF3E3"/>
      </patternFill>
    </fill>
    <fill>
      <patternFill patternType="solid">
        <fgColor rgb="FFF4F1EC"/>
        <bgColor rgb="FFFBF3E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0" fillId="0" borderId="0" xfId="0" applyFont="1"/>
    <xf numFmtId="0" fontId="10" fillId="0" borderId="0" xfId="0" applyFont="1" applyAlignment="1">
      <alignment wrapText="1"/>
    </xf>
    <xf numFmtId="0" fontId="9" fillId="2" borderId="0" xfId="0" applyFont="1" applyFill="1" applyAlignment="1">
      <alignment horizontal="right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/>
    <xf numFmtId="0" fontId="8" fillId="3" borderId="1" xfId="0" applyFont="1" applyFill="1" applyBorder="1"/>
    <xf numFmtId="165" fontId="8" fillId="3" borderId="1" xfId="0" applyNumberFormat="1" applyFont="1" applyFill="1" applyBorder="1"/>
    <xf numFmtId="164" fontId="3" fillId="4" borderId="1" xfId="0" applyNumberFormat="1" applyFont="1" applyFill="1" applyBorder="1"/>
    <xf numFmtId="0" fontId="3" fillId="4" borderId="1" xfId="0" applyFont="1" applyFill="1" applyBorder="1"/>
    <xf numFmtId="165" fontId="3" fillId="4" borderId="1" xfId="0" applyNumberFormat="1" applyFont="1" applyFill="1" applyBorder="1"/>
    <xf numFmtId="164" fontId="3" fillId="5" borderId="1" xfId="0" applyNumberFormat="1" applyFont="1" applyFill="1" applyBorder="1"/>
    <xf numFmtId="0" fontId="3" fillId="5" borderId="1" xfId="0" applyFont="1" applyFill="1" applyBorder="1"/>
    <xf numFmtId="165" fontId="3" fillId="5" borderId="1" xfId="0" applyNumberFormat="1" applyFont="1" applyFill="1" applyBorder="1"/>
    <xf numFmtId="166" fontId="5" fillId="0" borderId="0" xfId="0" applyNumberFormat="1" applyFont="1"/>
    <xf numFmtId="166" fontId="9" fillId="2" borderId="0" xfId="0" applyNumberFormat="1" applyFont="1" applyFill="1"/>
    <xf numFmtId="166" fontId="8" fillId="3" borderId="1" xfId="0" applyNumberFormat="1" applyFont="1" applyFill="1" applyBorder="1"/>
    <xf numFmtId="166" fontId="3" fillId="5" borderId="1" xfId="0" applyNumberFormat="1" applyFont="1" applyFill="1" applyBorder="1"/>
    <xf numFmtId="166" fontId="3" fillId="4" borderId="1" xfId="0" applyNumberFormat="1" applyFont="1" applyFill="1" applyBorder="1"/>
    <xf numFmtId="0" fontId="7" fillId="2" borderId="0" xfId="0" applyFont="1" applyFill="1"/>
    <xf numFmtId="0" fontId="3" fillId="0" borderId="0" xfId="0" applyFont="1"/>
    <xf numFmtId="166" fontId="11" fillId="6" borderId="0" xfId="0" applyNumberFormat="1" applyFont="1" applyFill="1"/>
    <xf numFmtId="0" fontId="12" fillId="0" borderId="0" xfId="0" applyFont="1"/>
    <xf numFmtId="167" fontId="6" fillId="0" borderId="0" xfId="0" applyNumberFormat="1" applyFont="1"/>
    <xf numFmtId="166" fontId="3" fillId="0" borderId="0" xfId="0" applyNumberFormat="1" applyFont="1"/>
    <xf numFmtId="0" fontId="5" fillId="0" borderId="0" xfId="0" applyFont="1"/>
    <xf numFmtId="0" fontId="3" fillId="5" borderId="0" xfId="0" applyFont="1" applyFill="1"/>
    <xf numFmtId="165" fontId="3" fillId="5" borderId="0" xfId="0" applyNumberFormat="1" applyFont="1" applyFill="1"/>
    <xf numFmtId="0" fontId="3" fillId="4" borderId="0" xfId="0" applyFont="1" applyFill="1"/>
    <xf numFmtId="165" fontId="3" fillId="4" borderId="0" xfId="0" applyNumberFormat="1" applyFont="1" applyFill="1"/>
    <xf numFmtId="165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BF3E3"/>
      <rgbColor rgb="FFF4F1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77777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9.9978637043366805E-2"/>
  </sheetPr>
  <dimension ref="A1:D15"/>
  <sheetViews>
    <sheetView tabSelected="1" zoomScaleNormal="100" workbookViewId="0">
      <selection activeCell="H9" sqref="H9"/>
    </sheetView>
  </sheetViews>
  <sheetFormatPr defaultColWidth="8.6640625" defaultRowHeight="14.4" x14ac:dyDescent="0.3"/>
  <cols>
    <col min="1" max="1" width="34" customWidth="1"/>
    <col min="2" max="4" width="26" customWidth="1"/>
  </cols>
  <sheetData>
    <row r="1" spans="1:4" ht="30" customHeight="1" x14ac:dyDescent="0.3">
      <c r="A1" s="8" t="s">
        <v>0</v>
      </c>
      <c r="B1" s="8"/>
      <c r="C1" s="8"/>
      <c r="D1" s="8"/>
    </row>
    <row r="2" spans="1:4" ht="18" customHeight="1" x14ac:dyDescent="0.3">
      <c r="A2" s="7" t="s">
        <v>1</v>
      </c>
      <c r="B2" s="7"/>
      <c r="C2" s="7"/>
      <c r="D2" s="7"/>
    </row>
    <row r="4" spans="1:4" ht="15.75" customHeight="1" x14ac:dyDescent="0.3">
      <c r="A4" s="9"/>
      <c r="B4" s="6"/>
      <c r="C4" s="6"/>
      <c r="D4" s="6"/>
    </row>
    <row r="5" spans="1:4" ht="43.5" customHeight="1" x14ac:dyDescent="0.3">
      <c r="A5" s="10" t="s">
        <v>2</v>
      </c>
      <c r="B5" s="6" t="s">
        <v>3</v>
      </c>
      <c r="C5" s="6"/>
      <c r="D5" s="6"/>
    </row>
    <row r="6" spans="1:4" ht="43.5" customHeight="1" x14ac:dyDescent="0.3">
      <c r="A6" s="10" t="s">
        <v>4</v>
      </c>
      <c r="B6" s="6" t="s">
        <v>5</v>
      </c>
      <c r="C6" s="6"/>
      <c r="D6" s="6"/>
    </row>
    <row r="7" spans="1:4" ht="15.75" customHeight="1" x14ac:dyDescent="0.3">
      <c r="A7" s="10" t="s">
        <v>6</v>
      </c>
      <c r="B7" s="6"/>
      <c r="C7" s="6"/>
      <c r="D7" s="6"/>
    </row>
    <row r="8" spans="1:4" ht="43.5" customHeight="1" x14ac:dyDescent="0.3">
      <c r="A8" s="9" t="s">
        <v>7</v>
      </c>
      <c r="B8" s="6" t="s">
        <v>8</v>
      </c>
      <c r="C8" s="6"/>
      <c r="D8" s="6"/>
    </row>
    <row r="9" spans="1:4" ht="43.5" customHeight="1" x14ac:dyDescent="0.3">
      <c r="A9" s="9" t="s">
        <v>9</v>
      </c>
      <c r="B9" s="6" t="s">
        <v>10</v>
      </c>
      <c r="C9" s="6"/>
      <c r="D9" s="6"/>
    </row>
    <row r="10" spans="1:4" ht="43.5" customHeight="1" x14ac:dyDescent="0.3">
      <c r="A10" s="9" t="s">
        <v>11</v>
      </c>
      <c r="B10" s="6" t="s">
        <v>12</v>
      </c>
      <c r="C10" s="6"/>
      <c r="D10" s="6"/>
    </row>
    <row r="11" spans="1:4" ht="43.5" customHeight="1" x14ac:dyDescent="0.3">
      <c r="A11" s="9" t="s">
        <v>13</v>
      </c>
      <c r="B11" s="6" t="s">
        <v>14</v>
      </c>
      <c r="C11" s="6"/>
      <c r="D11" s="6"/>
    </row>
    <row r="12" spans="1:4" ht="43.5" customHeight="1" x14ac:dyDescent="0.3">
      <c r="A12" s="10" t="s">
        <v>15</v>
      </c>
      <c r="B12" s="6" t="s">
        <v>16</v>
      </c>
      <c r="C12" s="6"/>
      <c r="D12" s="6"/>
    </row>
    <row r="13" spans="1:4" ht="43.5" customHeight="1" x14ac:dyDescent="0.3">
      <c r="A13" s="10" t="s">
        <v>17</v>
      </c>
      <c r="B13" s="6" t="s">
        <v>18</v>
      </c>
      <c r="C13" s="6"/>
      <c r="D13" s="6"/>
    </row>
    <row r="15" spans="1:4" ht="23.85" customHeight="1" x14ac:dyDescent="0.3">
      <c r="A15" s="11" t="s">
        <v>19</v>
      </c>
      <c r="B15" s="5" t="s">
        <v>20</v>
      </c>
      <c r="C15" s="5"/>
      <c r="D15" s="5"/>
    </row>
  </sheetData>
  <mergeCells count="13">
    <mergeCell ref="B12:D12"/>
    <mergeCell ref="B13:D13"/>
    <mergeCell ref="B15:D15"/>
    <mergeCell ref="B7:D7"/>
    <mergeCell ref="B8:D8"/>
    <mergeCell ref="B9:D9"/>
    <mergeCell ref="B10:D10"/>
    <mergeCell ref="B11:D11"/>
    <mergeCell ref="A1:D1"/>
    <mergeCell ref="A2:D2"/>
    <mergeCell ref="B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zoomScaleNormal="100" workbookViewId="0">
      <selection sqref="A1:G1"/>
    </sheetView>
  </sheetViews>
  <sheetFormatPr defaultColWidth="8.6640625" defaultRowHeight="14.4" x14ac:dyDescent="0.3"/>
  <cols>
    <col min="1" max="1" width="12" customWidth="1"/>
    <col min="2" max="2" width="30" customWidth="1"/>
    <col min="3" max="3" width="16" customWidth="1"/>
    <col min="4" max="4" width="20" customWidth="1"/>
    <col min="5" max="5" width="18" customWidth="1"/>
    <col min="6" max="6" width="14" customWidth="1"/>
    <col min="7" max="7" width="26" customWidth="1"/>
  </cols>
  <sheetData>
    <row r="1" spans="1:7" ht="30" customHeight="1" x14ac:dyDescent="0.3">
      <c r="A1" s="8" t="s">
        <v>21</v>
      </c>
      <c r="B1" s="8"/>
      <c r="C1" s="8"/>
      <c r="D1" s="8"/>
      <c r="E1" s="8"/>
      <c r="F1" s="8"/>
      <c r="G1" s="8"/>
    </row>
    <row r="2" spans="1:7" ht="18" customHeight="1" x14ac:dyDescent="0.3">
      <c r="A2" s="7" t="s">
        <v>22</v>
      </c>
      <c r="B2" s="7"/>
      <c r="C2" s="7"/>
      <c r="D2" s="7"/>
      <c r="E2" s="7"/>
      <c r="F2" s="7"/>
      <c r="G2" s="7"/>
    </row>
    <row r="4" spans="1:7" ht="30" customHeight="1" x14ac:dyDescent="0.3">
      <c r="A4" s="12" t="s">
        <v>23</v>
      </c>
      <c r="B4" s="12" t="s">
        <v>24</v>
      </c>
      <c r="C4" s="12" t="s">
        <v>25</v>
      </c>
      <c r="D4" s="12" t="s">
        <v>26</v>
      </c>
      <c r="E4" s="12" t="s">
        <v>27</v>
      </c>
      <c r="F4" s="12" t="s">
        <v>28</v>
      </c>
      <c r="G4" s="12" t="s">
        <v>29</v>
      </c>
    </row>
    <row r="5" spans="1:7" x14ac:dyDescent="0.3">
      <c r="A5" s="13" t="s">
        <v>30</v>
      </c>
      <c r="B5" s="14" t="s">
        <v>31</v>
      </c>
      <c r="C5" s="14" t="s">
        <v>32</v>
      </c>
      <c r="D5" s="14" t="s">
        <v>33</v>
      </c>
      <c r="E5" s="14" t="s">
        <v>34</v>
      </c>
      <c r="F5" s="15">
        <v>4250</v>
      </c>
      <c r="G5" s="14" t="s">
        <v>35</v>
      </c>
    </row>
    <row r="6" spans="1:7" x14ac:dyDescent="0.3">
      <c r="A6" s="13" t="s">
        <v>36</v>
      </c>
      <c r="B6" s="14" t="s">
        <v>37</v>
      </c>
      <c r="C6" s="14" t="s">
        <v>32</v>
      </c>
      <c r="D6" s="14" t="s">
        <v>38</v>
      </c>
      <c r="E6" s="14" t="s">
        <v>39</v>
      </c>
      <c r="F6" s="15">
        <v>-186.4</v>
      </c>
      <c r="G6" s="14" t="s">
        <v>40</v>
      </c>
    </row>
    <row r="7" spans="1:7" x14ac:dyDescent="0.3">
      <c r="A7" s="16"/>
      <c r="B7" s="17"/>
      <c r="C7" s="17"/>
      <c r="D7" s="17"/>
      <c r="E7" s="17"/>
      <c r="F7" s="18"/>
      <c r="G7" s="17"/>
    </row>
    <row r="8" spans="1:7" x14ac:dyDescent="0.3">
      <c r="A8" s="19"/>
      <c r="B8" s="20"/>
      <c r="C8" s="20"/>
      <c r="D8" s="20"/>
      <c r="E8" s="20"/>
      <c r="F8" s="21"/>
      <c r="G8" s="20"/>
    </row>
    <row r="9" spans="1:7" x14ac:dyDescent="0.3">
      <c r="A9" s="16"/>
      <c r="B9" s="17"/>
      <c r="C9" s="17"/>
      <c r="D9" s="17"/>
      <c r="E9" s="17"/>
      <c r="F9" s="18"/>
      <c r="G9" s="17"/>
    </row>
    <row r="10" spans="1:7" x14ac:dyDescent="0.3">
      <c r="A10" s="19"/>
      <c r="B10" s="20"/>
      <c r="C10" s="20"/>
      <c r="D10" s="20"/>
      <c r="E10" s="20"/>
      <c r="F10" s="21"/>
      <c r="G10" s="20"/>
    </row>
    <row r="11" spans="1:7" x14ac:dyDescent="0.3">
      <c r="A11" s="16"/>
      <c r="B11" s="17"/>
      <c r="C11" s="17"/>
      <c r="D11" s="17"/>
      <c r="E11" s="17"/>
      <c r="F11" s="18"/>
      <c r="G11" s="17"/>
    </row>
    <row r="12" spans="1:7" x14ac:dyDescent="0.3">
      <c r="A12" s="19"/>
      <c r="B12" s="20"/>
      <c r="C12" s="20"/>
      <c r="D12" s="20"/>
      <c r="E12" s="20"/>
      <c r="F12" s="21"/>
      <c r="G12" s="20"/>
    </row>
    <row r="13" spans="1:7" x14ac:dyDescent="0.3">
      <c r="A13" s="16"/>
      <c r="B13" s="17"/>
      <c r="C13" s="17"/>
      <c r="D13" s="17"/>
      <c r="E13" s="17"/>
      <c r="F13" s="18"/>
      <c r="G13" s="17"/>
    </row>
    <row r="14" spans="1:7" x14ac:dyDescent="0.3">
      <c r="A14" s="19"/>
      <c r="B14" s="20"/>
      <c r="C14" s="20"/>
      <c r="D14" s="20"/>
      <c r="E14" s="20"/>
      <c r="F14" s="21"/>
      <c r="G14" s="20"/>
    </row>
    <row r="15" spans="1:7" x14ac:dyDescent="0.3">
      <c r="A15" s="16"/>
      <c r="B15" s="17"/>
      <c r="C15" s="17"/>
      <c r="D15" s="17"/>
      <c r="E15" s="17"/>
      <c r="F15" s="18"/>
      <c r="G15" s="17"/>
    </row>
    <row r="16" spans="1:7" x14ac:dyDescent="0.3">
      <c r="A16" s="19"/>
      <c r="B16" s="20"/>
      <c r="C16" s="20"/>
      <c r="D16" s="20"/>
      <c r="E16" s="20"/>
      <c r="F16" s="21"/>
      <c r="G16" s="20"/>
    </row>
    <row r="17" spans="1:7" x14ac:dyDescent="0.3">
      <c r="A17" s="16"/>
      <c r="B17" s="17"/>
      <c r="C17" s="17"/>
      <c r="D17" s="17"/>
      <c r="E17" s="17"/>
      <c r="F17" s="18"/>
      <c r="G17" s="17"/>
    </row>
    <row r="18" spans="1:7" x14ac:dyDescent="0.3">
      <c r="A18" s="19"/>
      <c r="B18" s="20"/>
      <c r="C18" s="20"/>
      <c r="D18" s="20"/>
      <c r="E18" s="20"/>
      <c r="F18" s="21"/>
      <c r="G18" s="20"/>
    </row>
    <row r="19" spans="1:7" x14ac:dyDescent="0.3">
      <c r="A19" s="16"/>
      <c r="B19" s="17"/>
      <c r="C19" s="17"/>
      <c r="D19" s="17"/>
      <c r="E19" s="17"/>
      <c r="F19" s="18"/>
      <c r="G19" s="17"/>
    </row>
    <row r="20" spans="1:7" x14ac:dyDescent="0.3">
      <c r="A20" s="19"/>
      <c r="B20" s="20"/>
      <c r="C20" s="20"/>
      <c r="D20" s="20"/>
      <c r="E20" s="20"/>
      <c r="F20" s="21"/>
      <c r="G20" s="20"/>
    </row>
    <row r="21" spans="1:7" x14ac:dyDescent="0.3">
      <c r="A21" s="16"/>
      <c r="B21" s="17"/>
      <c r="C21" s="17"/>
      <c r="D21" s="17"/>
      <c r="E21" s="17"/>
      <c r="F21" s="18"/>
      <c r="G21" s="17"/>
    </row>
    <row r="22" spans="1:7" x14ac:dyDescent="0.3">
      <c r="A22" s="19"/>
      <c r="B22" s="20"/>
      <c r="C22" s="20"/>
      <c r="D22" s="20"/>
      <c r="E22" s="20"/>
      <c r="F22" s="21"/>
      <c r="G22" s="20"/>
    </row>
    <row r="23" spans="1:7" x14ac:dyDescent="0.3">
      <c r="A23" s="16"/>
      <c r="B23" s="17"/>
      <c r="C23" s="17"/>
      <c r="D23" s="17"/>
      <c r="E23" s="17"/>
      <c r="F23" s="18"/>
      <c r="G23" s="17"/>
    </row>
    <row r="24" spans="1:7" x14ac:dyDescent="0.3">
      <c r="A24" s="19"/>
      <c r="B24" s="20"/>
      <c r="C24" s="20"/>
      <c r="D24" s="20"/>
      <c r="E24" s="20"/>
      <c r="F24" s="21"/>
      <c r="G24" s="20"/>
    </row>
    <row r="25" spans="1:7" x14ac:dyDescent="0.3">
      <c r="A25" s="16"/>
      <c r="B25" s="17"/>
      <c r="C25" s="17"/>
      <c r="D25" s="17"/>
      <c r="E25" s="17"/>
      <c r="F25" s="18"/>
      <c r="G25" s="17"/>
    </row>
    <row r="26" spans="1:7" x14ac:dyDescent="0.3">
      <c r="A26" s="19"/>
      <c r="B26" s="20"/>
      <c r="C26" s="20"/>
      <c r="D26" s="20"/>
      <c r="E26" s="20"/>
      <c r="F26" s="21"/>
      <c r="G26" s="20"/>
    </row>
    <row r="27" spans="1:7" x14ac:dyDescent="0.3">
      <c r="A27" s="16"/>
      <c r="B27" s="17"/>
      <c r="C27" s="17"/>
      <c r="D27" s="17"/>
      <c r="E27" s="17"/>
      <c r="F27" s="18"/>
      <c r="G27" s="17"/>
    </row>
    <row r="28" spans="1:7" x14ac:dyDescent="0.3">
      <c r="A28" s="19"/>
      <c r="B28" s="20"/>
      <c r="C28" s="20"/>
      <c r="D28" s="20"/>
      <c r="E28" s="20"/>
      <c r="F28" s="21"/>
      <c r="G28" s="20"/>
    </row>
    <row r="29" spans="1:7" x14ac:dyDescent="0.3">
      <c r="A29" s="16"/>
      <c r="B29" s="17"/>
      <c r="C29" s="17"/>
      <c r="D29" s="17"/>
      <c r="E29" s="17"/>
      <c r="F29" s="18"/>
      <c r="G29" s="17"/>
    </row>
    <row r="30" spans="1:7" x14ac:dyDescent="0.3">
      <c r="A30" s="19"/>
      <c r="B30" s="20"/>
      <c r="C30" s="20"/>
      <c r="D30" s="20"/>
      <c r="E30" s="20"/>
      <c r="F30" s="21"/>
      <c r="G30" s="20"/>
    </row>
    <row r="31" spans="1:7" x14ac:dyDescent="0.3">
      <c r="A31" s="16"/>
      <c r="B31" s="17"/>
      <c r="C31" s="17"/>
      <c r="D31" s="17"/>
      <c r="E31" s="17"/>
      <c r="F31" s="18"/>
      <c r="G31" s="17"/>
    </row>
    <row r="32" spans="1:7" x14ac:dyDescent="0.3">
      <c r="A32" s="19"/>
      <c r="B32" s="20"/>
      <c r="C32" s="20"/>
      <c r="D32" s="20"/>
      <c r="E32" s="20"/>
      <c r="F32" s="21"/>
      <c r="G32" s="20"/>
    </row>
    <row r="33" spans="1:7" x14ac:dyDescent="0.3">
      <c r="A33" s="16"/>
      <c r="B33" s="17"/>
      <c r="C33" s="17"/>
      <c r="D33" s="17"/>
      <c r="E33" s="17"/>
      <c r="F33" s="18"/>
      <c r="G33" s="17"/>
    </row>
    <row r="34" spans="1:7" x14ac:dyDescent="0.3">
      <c r="A34" s="19"/>
      <c r="B34" s="20"/>
      <c r="C34" s="20"/>
      <c r="D34" s="20"/>
      <c r="E34" s="20"/>
      <c r="F34" s="21"/>
      <c r="G34" s="20"/>
    </row>
    <row r="35" spans="1:7" x14ac:dyDescent="0.3">
      <c r="A35" s="16"/>
      <c r="B35" s="17"/>
      <c r="C35" s="17"/>
      <c r="D35" s="17"/>
      <c r="E35" s="17"/>
      <c r="F35" s="18"/>
      <c r="G35" s="17"/>
    </row>
    <row r="36" spans="1:7" x14ac:dyDescent="0.3">
      <c r="A36" s="19"/>
      <c r="B36" s="20"/>
      <c r="C36" s="20"/>
      <c r="D36" s="20"/>
      <c r="E36" s="20"/>
      <c r="F36" s="21"/>
      <c r="G36" s="20"/>
    </row>
    <row r="37" spans="1:7" x14ac:dyDescent="0.3">
      <c r="A37" s="16"/>
      <c r="B37" s="17"/>
      <c r="C37" s="17"/>
      <c r="D37" s="17"/>
      <c r="E37" s="17"/>
      <c r="F37" s="18"/>
      <c r="G37" s="17"/>
    </row>
    <row r="38" spans="1:7" x14ac:dyDescent="0.3">
      <c r="A38" s="19"/>
      <c r="B38" s="20"/>
      <c r="C38" s="20"/>
      <c r="D38" s="20"/>
      <c r="E38" s="20"/>
      <c r="F38" s="21"/>
      <c r="G38" s="20"/>
    </row>
    <row r="39" spans="1:7" x14ac:dyDescent="0.3">
      <c r="A39" s="16"/>
      <c r="B39" s="17"/>
      <c r="C39" s="17"/>
      <c r="D39" s="17"/>
      <c r="E39" s="17"/>
      <c r="F39" s="18"/>
      <c r="G39" s="17"/>
    </row>
    <row r="40" spans="1:7" x14ac:dyDescent="0.3">
      <c r="A40" s="19"/>
      <c r="B40" s="20"/>
      <c r="C40" s="20"/>
      <c r="D40" s="20"/>
      <c r="E40" s="20"/>
      <c r="F40" s="21"/>
      <c r="G40" s="20"/>
    </row>
    <row r="41" spans="1:7" x14ac:dyDescent="0.3">
      <c r="A41" s="16"/>
      <c r="B41" s="17"/>
      <c r="C41" s="17"/>
      <c r="D41" s="17"/>
      <c r="E41" s="17"/>
      <c r="F41" s="18"/>
      <c r="G41" s="17"/>
    </row>
    <row r="42" spans="1:7" x14ac:dyDescent="0.3">
      <c r="A42" s="19"/>
      <c r="B42" s="20"/>
      <c r="C42" s="20"/>
      <c r="D42" s="20"/>
      <c r="E42" s="20"/>
      <c r="F42" s="21"/>
      <c r="G42" s="20"/>
    </row>
    <row r="43" spans="1:7" x14ac:dyDescent="0.3">
      <c r="A43" s="16"/>
      <c r="B43" s="17"/>
      <c r="C43" s="17"/>
      <c r="D43" s="17"/>
      <c r="E43" s="17"/>
      <c r="F43" s="18"/>
      <c r="G43" s="17"/>
    </row>
    <row r="44" spans="1:7" x14ac:dyDescent="0.3">
      <c r="A44" s="19"/>
      <c r="B44" s="20"/>
      <c r="C44" s="20"/>
      <c r="D44" s="20"/>
      <c r="E44" s="20"/>
      <c r="F44" s="21"/>
      <c r="G44" s="20"/>
    </row>
    <row r="45" spans="1:7" x14ac:dyDescent="0.3">
      <c r="A45" s="16"/>
      <c r="B45" s="17"/>
      <c r="C45" s="17"/>
      <c r="D45" s="17"/>
      <c r="E45" s="17"/>
      <c r="F45" s="18"/>
      <c r="G45" s="17"/>
    </row>
    <row r="46" spans="1:7" x14ac:dyDescent="0.3">
      <c r="A46" s="19"/>
      <c r="B46" s="20"/>
      <c r="C46" s="20"/>
      <c r="D46" s="20"/>
      <c r="E46" s="20"/>
      <c r="F46" s="21"/>
      <c r="G46" s="20"/>
    </row>
    <row r="47" spans="1:7" x14ac:dyDescent="0.3">
      <c r="A47" s="16"/>
      <c r="B47" s="17"/>
      <c r="C47" s="17"/>
      <c r="D47" s="17"/>
      <c r="E47" s="17"/>
      <c r="F47" s="18"/>
      <c r="G47" s="17"/>
    </row>
    <row r="48" spans="1:7" x14ac:dyDescent="0.3">
      <c r="A48" s="19"/>
      <c r="B48" s="20"/>
      <c r="C48" s="20"/>
      <c r="D48" s="20"/>
      <c r="E48" s="20"/>
      <c r="F48" s="21"/>
      <c r="G48" s="20"/>
    </row>
    <row r="49" spans="1:7" x14ac:dyDescent="0.3">
      <c r="A49" s="16"/>
      <c r="B49" s="17"/>
      <c r="C49" s="17"/>
      <c r="D49" s="17"/>
      <c r="E49" s="17"/>
      <c r="F49" s="18"/>
      <c r="G49" s="17"/>
    </row>
    <row r="50" spans="1:7" x14ac:dyDescent="0.3">
      <c r="A50" s="19"/>
      <c r="B50" s="20"/>
      <c r="C50" s="20"/>
      <c r="D50" s="20"/>
      <c r="E50" s="20"/>
      <c r="F50" s="21"/>
      <c r="G50" s="20"/>
    </row>
    <row r="51" spans="1:7" x14ac:dyDescent="0.3">
      <c r="A51" s="16"/>
      <c r="B51" s="17"/>
      <c r="C51" s="17"/>
      <c r="D51" s="17"/>
      <c r="E51" s="17"/>
      <c r="F51" s="18"/>
      <c r="G51" s="17"/>
    </row>
    <row r="52" spans="1:7" x14ac:dyDescent="0.3">
      <c r="A52" s="19"/>
      <c r="B52" s="20"/>
      <c r="C52" s="20"/>
      <c r="D52" s="20"/>
      <c r="E52" s="20"/>
      <c r="F52" s="21"/>
      <c r="G52" s="20"/>
    </row>
    <row r="53" spans="1:7" x14ac:dyDescent="0.3">
      <c r="A53" s="16"/>
      <c r="B53" s="17"/>
      <c r="C53" s="17"/>
      <c r="D53" s="17"/>
      <c r="E53" s="17"/>
      <c r="F53" s="18"/>
      <c r="G53" s="17"/>
    </row>
    <row r="54" spans="1:7" x14ac:dyDescent="0.3">
      <c r="A54" s="19"/>
      <c r="B54" s="20"/>
      <c r="C54" s="20"/>
      <c r="D54" s="20"/>
      <c r="E54" s="20"/>
      <c r="F54" s="21"/>
      <c r="G54" s="20"/>
    </row>
    <row r="55" spans="1:7" x14ac:dyDescent="0.3">
      <c r="A55" s="16"/>
      <c r="B55" s="17"/>
      <c r="C55" s="17"/>
      <c r="D55" s="17"/>
      <c r="E55" s="17"/>
      <c r="F55" s="18"/>
      <c r="G55" s="17"/>
    </row>
    <row r="56" spans="1:7" x14ac:dyDescent="0.3">
      <c r="A56" s="19"/>
      <c r="B56" s="20"/>
      <c r="C56" s="20"/>
      <c r="D56" s="20"/>
      <c r="E56" s="20"/>
      <c r="F56" s="21"/>
      <c r="G56" s="20"/>
    </row>
    <row r="57" spans="1:7" x14ac:dyDescent="0.3">
      <c r="A57" s="16"/>
      <c r="B57" s="17"/>
      <c r="C57" s="17"/>
      <c r="D57" s="17"/>
      <c r="E57" s="17"/>
      <c r="F57" s="18"/>
      <c r="G57" s="17"/>
    </row>
    <row r="58" spans="1:7" x14ac:dyDescent="0.3">
      <c r="A58" s="19"/>
      <c r="B58" s="20"/>
      <c r="C58" s="20"/>
      <c r="D58" s="20"/>
      <c r="E58" s="20"/>
      <c r="F58" s="21"/>
      <c r="G58" s="20"/>
    </row>
    <row r="59" spans="1:7" x14ac:dyDescent="0.3">
      <c r="A59" s="16"/>
      <c r="B59" s="17"/>
      <c r="C59" s="17"/>
      <c r="D59" s="17"/>
      <c r="E59" s="17"/>
      <c r="F59" s="18"/>
      <c r="G59" s="17"/>
    </row>
    <row r="60" spans="1:7" x14ac:dyDescent="0.3">
      <c r="A60" s="19"/>
      <c r="B60" s="20"/>
      <c r="C60" s="20"/>
      <c r="D60" s="20"/>
      <c r="E60" s="20"/>
      <c r="F60" s="21"/>
      <c r="G60" s="20"/>
    </row>
    <row r="62" spans="1:7" x14ac:dyDescent="0.3">
      <c r="A62" s="4" t="s">
        <v>41</v>
      </c>
      <c r="B62" s="4"/>
      <c r="C62" s="4"/>
      <c r="D62" s="4"/>
      <c r="E62" s="4"/>
      <c r="F62" s="22">
        <f>SUMIF(E5:E60,"Income",F5:F60)</f>
        <v>4250</v>
      </c>
    </row>
    <row r="63" spans="1:7" x14ac:dyDescent="0.3">
      <c r="A63" s="4" t="s">
        <v>42</v>
      </c>
      <c r="B63" s="4"/>
      <c r="C63" s="4"/>
      <c r="D63" s="4"/>
      <c r="E63" s="4"/>
      <c r="F63" s="22">
        <f>SUMIF(E5:E60,"Expense",F5:F60)</f>
        <v>-186.4</v>
      </c>
    </row>
    <row r="64" spans="1:7" ht="21.75" customHeight="1" x14ac:dyDescent="0.3">
      <c r="A64" s="3" t="s">
        <v>43</v>
      </c>
      <c r="B64" s="3"/>
      <c r="C64" s="3"/>
      <c r="D64" s="3"/>
      <c r="E64" s="3"/>
      <c r="F64" s="23">
        <f>F62+F63</f>
        <v>4063.6</v>
      </c>
    </row>
  </sheetData>
  <mergeCells count="5">
    <mergeCell ref="A1:G1"/>
    <mergeCell ref="A2:G2"/>
    <mergeCell ref="A62:E62"/>
    <mergeCell ref="A63:E63"/>
    <mergeCell ref="A64:E64"/>
  </mergeCells>
  <dataValidations count="2">
    <dataValidation type="list" allowBlank="1" sqref="E5:E60" xr:uid="{00000000-0002-0000-0100-000000000000}">
      <formula1>"Income,Expense"</formula1>
      <formula2>0</formula2>
    </dataValidation>
    <dataValidation type="list" allowBlank="1" sqref="D5:D60" xr:uid="{00000000-0002-0000-0100-000001000000}">
      <formula1>"Contract Revenue,Materials/COGS,Labor,Subcontractor,Travel,Office/Admin,Insurance,Software/Subscriptions,Equipment,Professional Fees,Other"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zoomScaleNormal="100" workbookViewId="0">
      <selection sqref="A1:H1"/>
    </sheetView>
  </sheetViews>
  <sheetFormatPr defaultColWidth="8.6640625" defaultRowHeight="14.4" x14ac:dyDescent="0.3"/>
  <cols>
    <col min="1" max="1" width="18" customWidth="1"/>
    <col min="2" max="2" width="16" customWidth="1"/>
    <col min="3" max="5" width="14" customWidth="1"/>
    <col min="6" max="7" width="16" customWidth="1"/>
    <col min="8" max="8" width="20" customWidth="1"/>
  </cols>
  <sheetData>
    <row r="1" spans="1:8" ht="30" customHeight="1" x14ac:dyDescent="0.3">
      <c r="A1" s="8" t="s">
        <v>44</v>
      </c>
      <c r="B1" s="8"/>
      <c r="C1" s="8"/>
      <c r="D1" s="8"/>
      <c r="E1" s="8"/>
      <c r="F1" s="8"/>
      <c r="G1" s="8"/>
      <c r="H1" s="8"/>
    </row>
    <row r="2" spans="1:8" ht="18" customHeight="1" x14ac:dyDescent="0.3">
      <c r="A2" s="7" t="s">
        <v>45</v>
      </c>
      <c r="B2" s="7"/>
      <c r="C2" s="7"/>
      <c r="D2" s="7"/>
      <c r="E2" s="7"/>
      <c r="F2" s="7"/>
      <c r="G2" s="7"/>
      <c r="H2" s="7"/>
    </row>
    <row r="4" spans="1:8" ht="30" customHeight="1" x14ac:dyDescent="0.3">
      <c r="A4" s="12" t="s">
        <v>25</v>
      </c>
      <c r="B4" s="12" t="s">
        <v>46</v>
      </c>
      <c r="C4" s="12" t="s">
        <v>47</v>
      </c>
      <c r="D4" s="12" t="s">
        <v>48</v>
      </c>
      <c r="E4" s="12" t="s">
        <v>49</v>
      </c>
      <c r="F4" s="12" t="s">
        <v>50</v>
      </c>
      <c r="G4" s="12" t="s">
        <v>51</v>
      </c>
      <c r="H4" s="12" t="s">
        <v>52</v>
      </c>
    </row>
    <row r="5" spans="1:8" x14ac:dyDescent="0.3">
      <c r="A5" s="14" t="s">
        <v>32</v>
      </c>
      <c r="B5" s="24">
        <v>42500</v>
      </c>
      <c r="C5" s="24">
        <v>12000</v>
      </c>
      <c r="D5" s="24">
        <v>18600</v>
      </c>
      <c r="E5" s="24">
        <v>0</v>
      </c>
      <c r="F5" s="24">
        <v>950</v>
      </c>
      <c r="G5" s="24">
        <f t="shared" ref="G5:G30" si="0">SUM(C5:F5)</f>
        <v>31550</v>
      </c>
      <c r="H5" s="14" t="str">
        <f>(B5-G5)&amp;" / "&amp;TEXT((B5-G5)/B5,"0.0%")</f>
        <v>10950 / 25.8%</v>
      </c>
    </row>
    <row r="6" spans="1:8" x14ac:dyDescent="0.3">
      <c r="A6" s="20"/>
      <c r="B6" s="25"/>
      <c r="C6" s="25"/>
      <c r="D6" s="25"/>
      <c r="E6" s="25"/>
      <c r="F6" s="25"/>
      <c r="G6" s="25">
        <f t="shared" si="0"/>
        <v>0</v>
      </c>
      <c r="H6" s="20" t="str">
        <f t="shared" ref="H6:H30" si="1">IF(B6=0,"",(B6-G6)&amp;" / "&amp;TEXT((B6-G6)/B6,"0.0%"))</f>
        <v/>
      </c>
    </row>
    <row r="7" spans="1:8" x14ac:dyDescent="0.3">
      <c r="A7" s="17"/>
      <c r="B7" s="26"/>
      <c r="C7" s="26"/>
      <c r="D7" s="26"/>
      <c r="E7" s="26"/>
      <c r="F7" s="26"/>
      <c r="G7" s="26">
        <f t="shared" si="0"/>
        <v>0</v>
      </c>
      <c r="H7" s="17" t="str">
        <f t="shared" si="1"/>
        <v/>
      </c>
    </row>
    <row r="8" spans="1:8" x14ac:dyDescent="0.3">
      <c r="A8" s="20"/>
      <c r="B8" s="25"/>
      <c r="C8" s="25"/>
      <c r="D8" s="25"/>
      <c r="E8" s="25"/>
      <c r="F8" s="25"/>
      <c r="G8" s="25">
        <f t="shared" si="0"/>
        <v>0</v>
      </c>
      <c r="H8" s="20" t="str">
        <f t="shared" si="1"/>
        <v/>
      </c>
    </row>
    <row r="9" spans="1:8" x14ac:dyDescent="0.3">
      <c r="A9" s="17"/>
      <c r="B9" s="26"/>
      <c r="C9" s="26"/>
      <c r="D9" s="26"/>
      <c r="E9" s="26"/>
      <c r="F9" s="26"/>
      <c r="G9" s="26">
        <f t="shared" si="0"/>
        <v>0</v>
      </c>
      <c r="H9" s="17" t="str">
        <f t="shared" si="1"/>
        <v/>
      </c>
    </row>
    <row r="10" spans="1:8" x14ac:dyDescent="0.3">
      <c r="A10" s="20"/>
      <c r="B10" s="25"/>
      <c r="C10" s="25"/>
      <c r="D10" s="25"/>
      <c r="E10" s="25"/>
      <c r="F10" s="25"/>
      <c r="G10" s="25">
        <f t="shared" si="0"/>
        <v>0</v>
      </c>
      <c r="H10" s="20" t="str">
        <f t="shared" si="1"/>
        <v/>
      </c>
    </row>
    <row r="11" spans="1:8" x14ac:dyDescent="0.3">
      <c r="A11" s="17"/>
      <c r="B11" s="26"/>
      <c r="C11" s="26"/>
      <c r="D11" s="26"/>
      <c r="E11" s="26"/>
      <c r="F11" s="26"/>
      <c r="G11" s="26">
        <f t="shared" si="0"/>
        <v>0</v>
      </c>
      <c r="H11" s="17" t="str">
        <f t="shared" si="1"/>
        <v/>
      </c>
    </row>
    <row r="12" spans="1:8" x14ac:dyDescent="0.3">
      <c r="A12" s="20"/>
      <c r="B12" s="25"/>
      <c r="C12" s="25"/>
      <c r="D12" s="25"/>
      <c r="E12" s="25"/>
      <c r="F12" s="25"/>
      <c r="G12" s="25">
        <f t="shared" si="0"/>
        <v>0</v>
      </c>
      <c r="H12" s="20" t="str">
        <f t="shared" si="1"/>
        <v/>
      </c>
    </row>
    <row r="13" spans="1:8" x14ac:dyDescent="0.3">
      <c r="A13" s="17"/>
      <c r="B13" s="26"/>
      <c r="C13" s="26"/>
      <c r="D13" s="26"/>
      <c r="E13" s="26"/>
      <c r="F13" s="26"/>
      <c r="G13" s="26">
        <f t="shared" si="0"/>
        <v>0</v>
      </c>
      <c r="H13" s="17" t="str">
        <f t="shared" si="1"/>
        <v/>
      </c>
    </row>
    <row r="14" spans="1:8" x14ac:dyDescent="0.3">
      <c r="A14" s="20"/>
      <c r="B14" s="25"/>
      <c r="C14" s="25"/>
      <c r="D14" s="25"/>
      <c r="E14" s="25"/>
      <c r="F14" s="25"/>
      <c r="G14" s="25">
        <f t="shared" si="0"/>
        <v>0</v>
      </c>
      <c r="H14" s="20" t="str">
        <f t="shared" si="1"/>
        <v/>
      </c>
    </row>
    <row r="15" spans="1:8" x14ac:dyDescent="0.3">
      <c r="A15" s="17"/>
      <c r="B15" s="26"/>
      <c r="C15" s="26"/>
      <c r="D15" s="26"/>
      <c r="E15" s="26"/>
      <c r="F15" s="26"/>
      <c r="G15" s="26">
        <f t="shared" si="0"/>
        <v>0</v>
      </c>
      <c r="H15" s="17" t="str">
        <f t="shared" si="1"/>
        <v/>
      </c>
    </row>
    <row r="16" spans="1:8" x14ac:dyDescent="0.3">
      <c r="A16" s="20"/>
      <c r="B16" s="25"/>
      <c r="C16" s="25"/>
      <c r="D16" s="25"/>
      <c r="E16" s="25"/>
      <c r="F16" s="25"/>
      <c r="G16" s="25">
        <f t="shared" si="0"/>
        <v>0</v>
      </c>
      <c r="H16" s="20" t="str">
        <f t="shared" si="1"/>
        <v/>
      </c>
    </row>
    <row r="17" spans="1:8" x14ac:dyDescent="0.3">
      <c r="A17" s="17"/>
      <c r="B17" s="26"/>
      <c r="C17" s="26"/>
      <c r="D17" s="26"/>
      <c r="E17" s="26"/>
      <c r="F17" s="26"/>
      <c r="G17" s="26">
        <f t="shared" si="0"/>
        <v>0</v>
      </c>
      <c r="H17" s="17" t="str">
        <f t="shared" si="1"/>
        <v/>
      </c>
    </row>
    <row r="18" spans="1:8" x14ac:dyDescent="0.3">
      <c r="A18" s="20"/>
      <c r="B18" s="25"/>
      <c r="C18" s="25"/>
      <c r="D18" s="25"/>
      <c r="E18" s="25"/>
      <c r="F18" s="25"/>
      <c r="G18" s="25">
        <f t="shared" si="0"/>
        <v>0</v>
      </c>
      <c r="H18" s="20" t="str">
        <f t="shared" si="1"/>
        <v/>
      </c>
    </row>
    <row r="19" spans="1:8" x14ac:dyDescent="0.3">
      <c r="A19" s="17"/>
      <c r="B19" s="26"/>
      <c r="C19" s="26"/>
      <c r="D19" s="26"/>
      <c r="E19" s="26"/>
      <c r="F19" s="26"/>
      <c r="G19" s="26">
        <f t="shared" si="0"/>
        <v>0</v>
      </c>
      <c r="H19" s="17" t="str">
        <f t="shared" si="1"/>
        <v/>
      </c>
    </row>
    <row r="20" spans="1:8" x14ac:dyDescent="0.3">
      <c r="A20" s="20"/>
      <c r="B20" s="25"/>
      <c r="C20" s="25"/>
      <c r="D20" s="25"/>
      <c r="E20" s="25"/>
      <c r="F20" s="25"/>
      <c r="G20" s="25">
        <f t="shared" si="0"/>
        <v>0</v>
      </c>
      <c r="H20" s="20" t="str">
        <f t="shared" si="1"/>
        <v/>
      </c>
    </row>
    <row r="21" spans="1:8" x14ac:dyDescent="0.3">
      <c r="A21" s="17"/>
      <c r="B21" s="26"/>
      <c r="C21" s="26"/>
      <c r="D21" s="26"/>
      <c r="E21" s="26"/>
      <c r="F21" s="26"/>
      <c r="G21" s="26">
        <f t="shared" si="0"/>
        <v>0</v>
      </c>
      <c r="H21" s="17" t="str">
        <f t="shared" si="1"/>
        <v/>
      </c>
    </row>
    <row r="22" spans="1:8" x14ac:dyDescent="0.3">
      <c r="A22" s="20"/>
      <c r="B22" s="25"/>
      <c r="C22" s="25"/>
      <c r="D22" s="25"/>
      <c r="E22" s="25"/>
      <c r="F22" s="25"/>
      <c r="G22" s="25">
        <f t="shared" si="0"/>
        <v>0</v>
      </c>
      <c r="H22" s="20" t="str">
        <f t="shared" si="1"/>
        <v/>
      </c>
    </row>
    <row r="23" spans="1:8" x14ac:dyDescent="0.3">
      <c r="A23" s="17"/>
      <c r="B23" s="26"/>
      <c r="C23" s="26"/>
      <c r="D23" s="26"/>
      <c r="E23" s="26"/>
      <c r="F23" s="26"/>
      <c r="G23" s="26">
        <f t="shared" si="0"/>
        <v>0</v>
      </c>
      <c r="H23" s="17" t="str">
        <f t="shared" si="1"/>
        <v/>
      </c>
    </row>
    <row r="24" spans="1:8" x14ac:dyDescent="0.3">
      <c r="A24" s="20"/>
      <c r="B24" s="25"/>
      <c r="C24" s="25"/>
      <c r="D24" s="25"/>
      <c r="E24" s="25"/>
      <c r="F24" s="25"/>
      <c r="G24" s="25">
        <f t="shared" si="0"/>
        <v>0</v>
      </c>
      <c r="H24" s="20" t="str">
        <f t="shared" si="1"/>
        <v/>
      </c>
    </row>
    <row r="25" spans="1:8" x14ac:dyDescent="0.3">
      <c r="A25" s="17"/>
      <c r="B25" s="26"/>
      <c r="C25" s="26"/>
      <c r="D25" s="26"/>
      <c r="E25" s="26"/>
      <c r="F25" s="26"/>
      <c r="G25" s="26">
        <f t="shared" si="0"/>
        <v>0</v>
      </c>
      <c r="H25" s="17" t="str">
        <f t="shared" si="1"/>
        <v/>
      </c>
    </row>
    <row r="26" spans="1:8" x14ac:dyDescent="0.3">
      <c r="A26" s="20"/>
      <c r="B26" s="25"/>
      <c r="C26" s="25"/>
      <c r="D26" s="25"/>
      <c r="E26" s="25"/>
      <c r="F26" s="25"/>
      <c r="G26" s="25">
        <f t="shared" si="0"/>
        <v>0</v>
      </c>
      <c r="H26" s="20" t="str">
        <f t="shared" si="1"/>
        <v/>
      </c>
    </row>
    <row r="27" spans="1:8" x14ac:dyDescent="0.3">
      <c r="A27" s="17"/>
      <c r="B27" s="26"/>
      <c r="C27" s="26"/>
      <c r="D27" s="26"/>
      <c r="E27" s="26"/>
      <c r="F27" s="26"/>
      <c r="G27" s="26">
        <f t="shared" si="0"/>
        <v>0</v>
      </c>
      <c r="H27" s="17" t="str">
        <f t="shared" si="1"/>
        <v/>
      </c>
    </row>
    <row r="28" spans="1:8" x14ac:dyDescent="0.3">
      <c r="A28" s="20"/>
      <c r="B28" s="25"/>
      <c r="C28" s="25"/>
      <c r="D28" s="25"/>
      <c r="E28" s="25"/>
      <c r="F28" s="25"/>
      <c r="G28" s="25">
        <f t="shared" si="0"/>
        <v>0</v>
      </c>
      <c r="H28" s="20" t="str">
        <f t="shared" si="1"/>
        <v/>
      </c>
    </row>
    <row r="29" spans="1:8" x14ac:dyDescent="0.3">
      <c r="A29" s="17"/>
      <c r="B29" s="26"/>
      <c r="C29" s="26"/>
      <c r="D29" s="26"/>
      <c r="E29" s="26"/>
      <c r="F29" s="26"/>
      <c r="G29" s="26">
        <f t="shared" si="0"/>
        <v>0</v>
      </c>
      <c r="H29" s="17" t="str">
        <f t="shared" si="1"/>
        <v/>
      </c>
    </row>
    <row r="30" spans="1:8" x14ac:dyDescent="0.3">
      <c r="A30" s="20"/>
      <c r="B30" s="25"/>
      <c r="C30" s="25"/>
      <c r="D30" s="25"/>
      <c r="E30" s="25"/>
      <c r="F30" s="25"/>
      <c r="G30" s="25">
        <f t="shared" si="0"/>
        <v>0</v>
      </c>
      <c r="H30" s="20" t="str">
        <f t="shared" si="1"/>
        <v/>
      </c>
    </row>
    <row r="32" spans="1:8" ht="27.75" customHeight="1" x14ac:dyDescent="0.3">
      <c r="A32" s="2" t="s">
        <v>53</v>
      </c>
      <c r="B32" s="2"/>
      <c r="C32" s="2"/>
      <c r="D32" s="2"/>
      <c r="E32" s="2"/>
      <c r="F32" s="2"/>
      <c r="G32" s="2"/>
      <c r="H32" s="2"/>
    </row>
  </sheetData>
  <mergeCells count="3">
    <mergeCell ref="A1:H1"/>
    <mergeCell ref="A2:H2"/>
    <mergeCell ref="A32:H3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zoomScaleNormal="100" workbookViewId="0">
      <selection sqref="A1:C1"/>
    </sheetView>
  </sheetViews>
  <sheetFormatPr defaultColWidth="8.6640625" defaultRowHeight="14.4" x14ac:dyDescent="0.3"/>
  <cols>
    <col min="1" max="1" width="34" customWidth="1"/>
    <col min="2" max="2" width="18" customWidth="1"/>
    <col min="3" max="3" width="40" customWidth="1"/>
  </cols>
  <sheetData>
    <row r="1" spans="1:3" ht="30" customHeight="1" x14ac:dyDescent="0.3">
      <c r="A1" s="8" t="s">
        <v>54</v>
      </c>
      <c r="B1" s="8"/>
      <c r="C1" s="8"/>
    </row>
    <row r="2" spans="1:3" ht="18" customHeight="1" x14ac:dyDescent="0.3">
      <c r="A2" s="7" t="s">
        <v>55</v>
      </c>
      <c r="B2" s="7"/>
      <c r="C2" s="7"/>
    </row>
    <row r="4" spans="1:3" x14ac:dyDescent="0.3">
      <c r="A4" s="27" t="s">
        <v>56</v>
      </c>
      <c r="B4" s="27" t="s">
        <v>28</v>
      </c>
      <c r="C4" s="27" t="s">
        <v>24</v>
      </c>
    </row>
    <row r="5" spans="1:3" x14ac:dyDescent="0.3">
      <c r="A5" s="28" t="s">
        <v>57</v>
      </c>
      <c r="B5" s="29">
        <v>45000</v>
      </c>
      <c r="C5" s="30" t="s">
        <v>58</v>
      </c>
    </row>
    <row r="6" spans="1:3" x14ac:dyDescent="0.3">
      <c r="A6" s="28" t="s">
        <v>59</v>
      </c>
      <c r="B6" s="29">
        <v>150000</v>
      </c>
      <c r="C6" s="30" t="s">
        <v>60</v>
      </c>
    </row>
    <row r="7" spans="1:3" x14ac:dyDescent="0.3">
      <c r="A7" s="11" t="s">
        <v>61</v>
      </c>
      <c r="B7" s="31">
        <f>IFERROR(B5/B6,"")</f>
        <v>0.3</v>
      </c>
      <c r="C7" s="30" t="s">
        <v>62</v>
      </c>
    </row>
    <row r="9" spans="1:3" x14ac:dyDescent="0.3">
      <c r="A9" s="11" t="s">
        <v>63</v>
      </c>
    </row>
    <row r="10" spans="1:3" x14ac:dyDescent="0.3">
      <c r="A10" s="28" t="s">
        <v>64</v>
      </c>
      <c r="B10" s="29">
        <v>10000</v>
      </c>
    </row>
    <row r="11" spans="1:3" x14ac:dyDescent="0.3">
      <c r="A11" s="28" t="s">
        <v>65</v>
      </c>
      <c r="B11" s="32">
        <f>B10*B7</f>
        <v>3000</v>
      </c>
    </row>
    <row r="12" spans="1:3" x14ac:dyDescent="0.3">
      <c r="A12" s="33" t="s">
        <v>66</v>
      </c>
      <c r="B12" s="22">
        <f>B10+B11</f>
        <v>13000</v>
      </c>
    </row>
    <row r="14" spans="1:3" x14ac:dyDescent="0.3">
      <c r="A14" s="1" t="s">
        <v>67</v>
      </c>
      <c r="B14" s="1"/>
      <c r="C14" s="1"/>
    </row>
  </sheetData>
  <mergeCells count="3">
    <mergeCell ref="A1:C1"/>
    <mergeCell ref="A2:C2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zoomScaleNormal="100" workbookViewId="0">
      <selection sqref="A1:D1"/>
    </sheetView>
  </sheetViews>
  <sheetFormatPr defaultColWidth="8.6640625" defaultRowHeight="14.4" x14ac:dyDescent="0.3"/>
  <cols>
    <col min="1" max="4" width="16" customWidth="1"/>
  </cols>
  <sheetData>
    <row r="1" spans="1:4" ht="30" customHeight="1" x14ac:dyDescent="0.3">
      <c r="A1" s="8" t="s">
        <v>68</v>
      </c>
      <c r="B1" s="8"/>
      <c r="C1" s="8"/>
      <c r="D1" s="8"/>
    </row>
    <row r="2" spans="1:4" ht="18" customHeight="1" x14ac:dyDescent="0.3">
      <c r="A2" s="7" t="s">
        <v>69</v>
      </c>
      <c r="B2" s="7"/>
      <c r="C2" s="7"/>
      <c r="D2" s="7"/>
    </row>
    <row r="4" spans="1:4" ht="30" customHeight="1" x14ac:dyDescent="0.3">
      <c r="A4" s="12" t="s">
        <v>70</v>
      </c>
      <c r="B4" s="12" t="s">
        <v>34</v>
      </c>
      <c r="C4" s="12" t="s">
        <v>71</v>
      </c>
      <c r="D4" s="12" t="s">
        <v>72</v>
      </c>
    </row>
    <row r="5" spans="1:4" x14ac:dyDescent="0.3">
      <c r="A5" s="34" t="s">
        <v>73</v>
      </c>
      <c r="B5" s="35">
        <f>SUMPRODUCT((TEXT('Income &amp; Expense Tracker'!$A$5:$A$60,"yyyy-mm")=A5)*('Income &amp; Expense Tracker'!$E$5:$E$60="Income")*'Income &amp; Expense Tracker'!$F$5:$F$60)</f>
        <v>4250</v>
      </c>
      <c r="C5" s="35">
        <f>SUMPRODUCT((TEXT('Income &amp; Expense Tracker'!$A$5:$A$60,"yyyy-mm")=A5)*('Income &amp; Expense Tracker'!$E$5:$E$60="Expense")*'Income &amp; Expense Tracker'!$F$5:$F$60)</f>
        <v>-186.4</v>
      </c>
      <c r="D5" s="35">
        <f t="shared" ref="D5:D16" si="0">B5+C5</f>
        <v>4063.6</v>
      </c>
    </row>
    <row r="6" spans="1:4" x14ac:dyDescent="0.3">
      <c r="A6" s="36" t="s">
        <v>74</v>
      </c>
      <c r="B6" s="37">
        <f>SUMPRODUCT((TEXT('Income &amp; Expense Tracker'!$A$5:$A$60,"yyyy-mm")=A6)*('Income &amp; Expense Tracker'!$E$5:$E$60="Income")*'Income &amp; Expense Tracker'!$F$5:$F$60)</f>
        <v>0</v>
      </c>
      <c r="C6" s="37">
        <f>SUMPRODUCT((TEXT('Income &amp; Expense Tracker'!$A$5:$A$60,"yyyy-mm")=A6)*('Income &amp; Expense Tracker'!$E$5:$E$60="Expense")*'Income &amp; Expense Tracker'!$F$5:$F$60)</f>
        <v>0</v>
      </c>
      <c r="D6" s="37">
        <f t="shared" si="0"/>
        <v>0</v>
      </c>
    </row>
    <row r="7" spans="1:4" x14ac:dyDescent="0.3">
      <c r="A7" s="34" t="s">
        <v>75</v>
      </c>
      <c r="B7" s="35">
        <f>SUMPRODUCT((TEXT('Income &amp; Expense Tracker'!$A$5:$A$60,"yyyy-mm")=A7)*('Income &amp; Expense Tracker'!$E$5:$E$60="Income")*'Income &amp; Expense Tracker'!$F$5:$F$60)</f>
        <v>0</v>
      </c>
      <c r="C7" s="35">
        <f>SUMPRODUCT((TEXT('Income &amp; Expense Tracker'!$A$5:$A$60,"yyyy-mm")=A7)*('Income &amp; Expense Tracker'!$E$5:$E$60="Expense")*'Income &amp; Expense Tracker'!$F$5:$F$60)</f>
        <v>0</v>
      </c>
      <c r="D7" s="35">
        <f t="shared" si="0"/>
        <v>0</v>
      </c>
    </row>
    <row r="8" spans="1:4" x14ac:dyDescent="0.3">
      <c r="A8" s="36" t="s">
        <v>76</v>
      </c>
      <c r="B8" s="37">
        <f>SUMPRODUCT((TEXT('Income &amp; Expense Tracker'!$A$5:$A$60,"yyyy-mm")=A8)*('Income &amp; Expense Tracker'!$E$5:$E$60="Income")*'Income &amp; Expense Tracker'!$F$5:$F$60)</f>
        <v>0</v>
      </c>
      <c r="C8" s="37">
        <f>SUMPRODUCT((TEXT('Income &amp; Expense Tracker'!$A$5:$A$60,"yyyy-mm")=A8)*('Income &amp; Expense Tracker'!$E$5:$E$60="Expense")*'Income &amp; Expense Tracker'!$F$5:$F$60)</f>
        <v>0</v>
      </c>
      <c r="D8" s="37">
        <f t="shared" si="0"/>
        <v>0</v>
      </c>
    </row>
    <row r="9" spans="1:4" x14ac:dyDescent="0.3">
      <c r="A9" s="34" t="s">
        <v>77</v>
      </c>
      <c r="B9" s="35">
        <f>SUMPRODUCT((TEXT('Income &amp; Expense Tracker'!$A$5:$A$60,"yyyy-mm")=A9)*('Income &amp; Expense Tracker'!$E$5:$E$60="Income")*'Income &amp; Expense Tracker'!$F$5:$F$60)</f>
        <v>0</v>
      </c>
      <c r="C9" s="35">
        <f>SUMPRODUCT((TEXT('Income &amp; Expense Tracker'!$A$5:$A$60,"yyyy-mm")=A9)*('Income &amp; Expense Tracker'!$E$5:$E$60="Expense")*'Income &amp; Expense Tracker'!$F$5:$F$60)</f>
        <v>0</v>
      </c>
      <c r="D9" s="35">
        <f t="shared" si="0"/>
        <v>0</v>
      </c>
    </row>
    <row r="10" spans="1:4" x14ac:dyDescent="0.3">
      <c r="A10" s="36" t="s">
        <v>78</v>
      </c>
      <c r="B10" s="37">
        <f>SUMPRODUCT((TEXT('Income &amp; Expense Tracker'!$A$5:$A$60,"yyyy-mm")=A10)*('Income &amp; Expense Tracker'!$E$5:$E$60="Income")*'Income &amp; Expense Tracker'!$F$5:$F$60)</f>
        <v>0</v>
      </c>
      <c r="C10" s="37">
        <f>SUMPRODUCT((TEXT('Income &amp; Expense Tracker'!$A$5:$A$60,"yyyy-mm")=A10)*('Income &amp; Expense Tracker'!$E$5:$E$60="Expense")*'Income &amp; Expense Tracker'!$F$5:$F$60)</f>
        <v>0</v>
      </c>
      <c r="D10" s="37">
        <f t="shared" si="0"/>
        <v>0</v>
      </c>
    </row>
    <row r="11" spans="1:4" x14ac:dyDescent="0.3">
      <c r="A11" s="34" t="s">
        <v>79</v>
      </c>
      <c r="B11" s="35">
        <f>SUMPRODUCT((TEXT('Income &amp; Expense Tracker'!$A$5:$A$60,"yyyy-mm")=A11)*('Income &amp; Expense Tracker'!$E$5:$E$60="Income")*'Income &amp; Expense Tracker'!$F$5:$F$60)</f>
        <v>0</v>
      </c>
      <c r="C11" s="35">
        <f>SUMPRODUCT((TEXT('Income &amp; Expense Tracker'!$A$5:$A$60,"yyyy-mm")=A11)*('Income &amp; Expense Tracker'!$E$5:$E$60="Expense")*'Income &amp; Expense Tracker'!$F$5:$F$60)</f>
        <v>0</v>
      </c>
      <c r="D11" s="35">
        <f t="shared" si="0"/>
        <v>0</v>
      </c>
    </row>
    <row r="12" spans="1:4" x14ac:dyDescent="0.3">
      <c r="A12" s="36" t="s">
        <v>80</v>
      </c>
      <c r="B12" s="37">
        <f>SUMPRODUCT((TEXT('Income &amp; Expense Tracker'!$A$5:$A$60,"yyyy-mm")=A12)*('Income &amp; Expense Tracker'!$E$5:$E$60="Income")*'Income &amp; Expense Tracker'!$F$5:$F$60)</f>
        <v>0</v>
      </c>
      <c r="C12" s="37">
        <f>SUMPRODUCT((TEXT('Income &amp; Expense Tracker'!$A$5:$A$60,"yyyy-mm")=A12)*('Income &amp; Expense Tracker'!$E$5:$E$60="Expense")*'Income &amp; Expense Tracker'!$F$5:$F$60)</f>
        <v>0</v>
      </c>
      <c r="D12" s="37">
        <f t="shared" si="0"/>
        <v>0</v>
      </c>
    </row>
    <row r="13" spans="1:4" x14ac:dyDescent="0.3">
      <c r="A13" s="34" t="s">
        <v>81</v>
      </c>
      <c r="B13" s="35">
        <f>SUMPRODUCT((TEXT('Income &amp; Expense Tracker'!$A$5:$A$60,"yyyy-mm")=A13)*('Income &amp; Expense Tracker'!$E$5:$E$60="Income")*'Income &amp; Expense Tracker'!$F$5:$F$60)</f>
        <v>0</v>
      </c>
      <c r="C13" s="35">
        <f>SUMPRODUCT((TEXT('Income &amp; Expense Tracker'!$A$5:$A$60,"yyyy-mm")=A13)*('Income &amp; Expense Tracker'!$E$5:$E$60="Expense")*'Income &amp; Expense Tracker'!$F$5:$F$60)</f>
        <v>0</v>
      </c>
      <c r="D13" s="35">
        <f t="shared" si="0"/>
        <v>0</v>
      </c>
    </row>
    <row r="14" spans="1:4" x14ac:dyDescent="0.3">
      <c r="A14" s="36" t="s">
        <v>82</v>
      </c>
      <c r="B14" s="37">
        <f>SUMPRODUCT((TEXT('Income &amp; Expense Tracker'!$A$5:$A$60,"yyyy-mm")=A14)*('Income &amp; Expense Tracker'!$E$5:$E$60="Income")*'Income &amp; Expense Tracker'!$F$5:$F$60)</f>
        <v>0</v>
      </c>
      <c r="C14" s="37">
        <f>SUMPRODUCT((TEXT('Income &amp; Expense Tracker'!$A$5:$A$60,"yyyy-mm")=A14)*('Income &amp; Expense Tracker'!$E$5:$E$60="Expense")*'Income &amp; Expense Tracker'!$F$5:$F$60)</f>
        <v>0</v>
      </c>
      <c r="D14" s="37">
        <f t="shared" si="0"/>
        <v>0</v>
      </c>
    </row>
    <row r="15" spans="1:4" x14ac:dyDescent="0.3">
      <c r="A15" s="34" t="s">
        <v>83</v>
      </c>
      <c r="B15" s="35">
        <f>SUMPRODUCT((TEXT('Income &amp; Expense Tracker'!$A$5:$A$60,"yyyy-mm")=A15)*('Income &amp; Expense Tracker'!$E$5:$E$60="Income")*'Income &amp; Expense Tracker'!$F$5:$F$60)</f>
        <v>0</v>
      </c>
      <c r="C15" s="35">
        <f>SUMPRODUCT((TEXT('Income &amp; Expense Tracker'!$A$5:$A$60,"yyyy-mm")=A15)*('Income &amp; Expense Tracker'!$E$5:$E$60="Expense")*'Income &amp; Expense Tracker'!$F$5:$F$60)</f>
        <v>0</v>
      </c>
      <c r="D15" s="35">
        <f t="shared" si="0"/>
        <v>0</v>
      </c>
    </row>
    <row r="16" spans="1:4" x14ac:dyDescent="0.3">
      <c r="A16" s="36" t="s">
        <v>84</v>
      </c>
      <c r="B16" s="37">
        <f>SUMPRODUCT((TEXT('Income &amp; Expense Tracker'!$A$5:$A$60,"yyyy-mm")=A16)*('Income &amp; Expense Tracker'!$E$5:$E$60="Income")*'Income &amp; Expense Tracker'!$F$5:$F$60)</f>
        <v>0</v>
      </c>
      <c r="C16" s="37">
        <f>SUMPRODUCT((TEXT('Income &amp; Expense Tracker'!$A$5:$A$60,"yyyy-mm")=A16)*('Income &amp; Expense Tracker'!$E$5:$E$60="Expense")*'Income &amp; Expense Tracker'!$F$5:$F$60)</f>
        <v>0</v>
      </c>
      <c r="D16" s="37">
        <f t="shared" si="0"/>
        <v>0</v>
      </c>
    </row>
    <row r="17" spans="1:4" x14ac:dyDescent="0.3">
      <c r="A17" s="27" t="s">
        <v>85</v>
      </c>
      <c r="B17" s="38">
        <f>SUM(B5:B16)</f>
        <v>4250</v>
      </c>
      <c r="C17" s="38">
        <f>SUM(C5:C16)</f>
        <v>-186.4</v>
      </c>
      <c r="D17" s="38">
        <f>SUM(D5:D16)</f>
        <v>4063.6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Income &amp; Expense Tracker</vt:lpstr>
      <vt:lpstr>Job Costing by Contract</vt:lpstr>
      <vt:lpstr>Indirect Rate Calculator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Keith Atkinson</cp:lastModifiedBy>
  <cp:revision>0</cp:revision>
  <dcterms:created xsi:type="dcterms:W3CDTF">2026-08-09T12:13:40Z</dcterms:created>
  <dcterms:modified xsi:type="dcterms:W3CDTF">2026-08-09T12:53:41Z</dcterms:modified>
  <dc:language>en-US</dc:language>
</cp:coreProperties>
</file>